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84" yWindow="84" windowWidth="10500" windowHeight="9288"/>
  </bookViews>
  <sheets>
    <sheet name="Sheet1" sheetId="1" r:id="rId1"/>
  </sheets>
  <definedNames>
    <definedName name="blurKernelSigma">Sheet1!$L$1</definedName>
    <definedName name="filterSum">Sheet1!$L$9</definedName>
    <definedName name="normalizationFactor">Sheet1!$L$10</definedName>
  </definedNames>
  <calcPr calcId="145621"/>
</workbook>
</file>

<file path=xl/calcChain.xml><?xml version="1.0" encoding="utf-8"?>
<calcChain xmlns="http://schemas.openxmlformats.org/spreadsheetml/2006/main">
  <c r="C14" i="1" l="1"/>
  <c r="C15" i="1"/>
  <c r="C16" i="1"/>
  <c r="C17" i="1"/>
  <c r="C18" i="1"/>
  <c r="C19" i="1"/>
  <c r="C20" i="1"/>
  <c r="C21" i="1"/>
  <c r="C22" i="1"/>
  <c r="D14" i="1"/>
  <c r="D15" i="1"/>
  <c r="D16" i="1"/>
  <c r="D17" i="1"/>
  <c r="D18" i="1"/>
  <c r="D19" i="1"/>
  <c r="D20" i="1"/>
  <c r="D21" i="1"/>
  <c r="D22" i="1"/>
  <c r="E14" i="1"/>
  <c r="E15" i="1"/>
  <c r="E16" i="1"/>
  <c r="E17" i="1"/>
  <c r="E18" i="1"/>
  <c r="E19" i="1"/>
  <c r="E20" i="1"/>
  <c r="E21" i="1"/>
  <c r="E22" i="1"/>
  <c r="F14" i="1"/>
  <c r="F15" i="1"/>
  <c r="F16" i="1"/>
  <c r="F17" i="1"/>
  <c r="F18" i="1"/>
  <c r="F19" i="1"/>
  <c r="F20" i="1"/>
  <c r="F21" i="1"/>
  <c r="F22" i="1"/>
  <c r="G14" i="1"/>
  <c r="G15" i="1"/>
  <c r="G16" i="1"/>
  <c r="G17" i="1"/>
  <c r="G18" i="1"/>
  <c r="G19" i="1"/>
  <c r="G20" i="1"/>
  <c r="G21" i="1"/>
  <c r="G22" i="1"/>
  <c r="H14" i="1"/>
  <c r="H15" i="1"/>
  <c r="H16" i="1"/>
  <c r="H17" i="1"/>
  <c r="H18" i="1"/>
  <c r="H19" i="1"/>
  <c r="H20" i="1"/>
  <c r="H21" i="1"/>
  <c r="H22" i="1"/>
  <c r="I14" i="1"/>
  <c r="I15" i="1"/>
  <c r="I16" i="1"/>
  <c r="I17" i="1"/>
  <c r="I18" i="1"/>
  <c r="I19" i="1"/>
  <c r="I20" i="1"/>
  <c r="I21" i="1"/>
  <c r="I22" i="1"/>
  <c r="J14" i="1"/>
  <c r="J15" i="1"/>
  <c r="J16" i="1"/>
  <c r="J17" i="1"/>
  <c r="J18" i="1"/>
  <c r="J19" i="1"/>
  <c r="J20" i="1"/>
  <c r="J21" i="1"/>
  <c r="J22" i="1"/>
  <c r="B14" i="1"/>
  <c r="B15" i="1"/>
  <c r="B16" i="1"/>
  <c r="B17" i="1"/>
  <c r="B18" i="1"/>
  <c r="B19" i="1"/>
  <c r="B20" i="1"/>
  <c r="B21" i="1"/>
  <c r="B22" i="1"/>
  <c r="L10" i="1"/>
  <c r="J10" i="1"/>
  <c r="I10" i="1"/>
  <c r="H10" i="1"/>
  <c r="G10" i="1"/>
  <c r="F10" i="1"/>
  <c r="E10" i="1"/>
  <c r="D10" i="1"/>
  <c r="C10" i="1"/>
  <c r="B10" i="1"/>
  <c r="J9" i="1"/>
  <c r="I9" i="1"/>
  <c r="H9" i="1"/>
  <c r="G9" i="1"/>
  <c r="F9" i="1"/>
  <c r="E9" i="1"/>
  <c r="D9" i="1"/>
  <c r="C9" i="1"/>
  <c r="B9" i="1"/>
  <c r="J8" i="1"/>
  <c r="I8" i="1"/>
  <c r="H8" i="1"/>
  <c r="G8" i="1"/>
  <c r="F8" i="1"/>
  <c r="E8" i="1"/>
  <c r="D8" i="1"/>
  <c r="C8" i="1"/>
  <c r="B8" i="1"/>
  <c r="J7" i="1"/>
  <c r="I7" i="1"/>
  <c r="H7" i="1"/>
  <c r="G7" i="1"/>
  <c r="F7" i="1"/>
  <c r="E7" i="1"/>
  <c r="D7" i="1"/>
  <c r="C7" i="1"/>
  <c r="B7" i="1"/>
  <c r="J6" i="1"/>
  <c r="I6" i="1"/>
  <c r="H6" i="1"/>
  <c r="G6" i="1"/>
  <c r="F6" i="1"/>
  <c r="E6" i="1"/>
  <c r="D6" i="1"/>
  <c r="C6" i="1"/>
  <c r="B6" i="1"/>
  <c r="J5" i="1"/>
  <c r="I5" i="1"/>
  <c r="H5" i="1"/>
  <c r="G5" i="1"/>
  <c r="F5" i="1"/>
  <c r="D5" i="1"/>
  <c r="C5" i="1"/>
  <c r="B5" i="1"/>
  <c r="J4" i="1"/>
  <c r="I4" i="1"/>
  <c r="H4" i="1"/>
  <c r="G4" i="1"/>
  <c r="F4" i="1"/>
  <c r="E4" i="1"/>
  <c r="D4" i="1"/>
  <c r="C4" i="1"/>
  <c r="B4" i="1"/>
  <c r="J3" i="1"/>
  <c r="I3" i="1"/>
  <c r="H3" i="1"/>
  <c r="G3" i="1"/>
  <c r="F3" i="1"/>
  <c r="E3" i="1"/>
  <c r="D3" i="1"/>
  <c r="C3" i="1"/>
  <c r="B3" i="1"/>
  <c r="J2" i="1"/>
  <c r="I2" i="1"/>
  <c r="H2" i="1"/>
  <c r="G2" i="1"/>
  <c r="F2" i="1"/>
  <c r="E2" i="1"/>
  <c r="D2" i="1"/>
  <c r="C2" i="1"/>
  <c r="B2" i="1"/>
  <c r="E5" i="1"/>
  <c r="L9" i="1" l="1"/>
</calcChain>
</file>

<file path=xl/sharedStrings.xml><?xml version="1.0" encoding="utf-8"?>
<sst xmlns="http://schemas.openxmlformats.org/spreadsheetml/2006/main" count="20" uniqueCount="11">
  <si>
    <t>-4</t>
  </si>
  <si>
    <t>-3</t>
  </si>
  <si>
    <t>-2</t>
  </si>
  <si>
    <t>-1</t>
  </si>
  <si>
    <t>0</t>
  </si>
  <si>
    <t>1</t>
  </si>
  <si>
    <t>2</t>
  </si>
  <si>
    <t>3</t>
  </si>
  <si>
    <t>4</t>
  </si>
  <si>
    <t>filterValue</t>
  </si>
  <si>
    <t>*h_filter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</si>
</sst>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#,##0.0000"/>
    <numFmt numFmtId="166" formatCode="0.0000"/>
  </numFmts>
  <fonts count="1" x14ac:knownFonts="1"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5" fontId="0" fillId="0" borderId="0" xfId="0" applyNumberFormat="1" applyAlignment="1">
      <alignment horizontal="center"/>
    </xf>
    <xf numFmtId="166" fontId="0" fillId="2" borderId="0" xfId="0" applyNumberFormat="1" applyFill="1"/>
  </cellXfs>
  <cellStyles count="1">
    <cellStyle name="Normal" xfId="0" builtinId="0"/>
  </cellStyles>
  <dxfs count="24"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numFmt numFmtId="165" formatCode="#,##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J10" totalsRowShown="0" headerRowDxfId="23" dataDxfId="22">
  <tableColumns count="10">
    <tableColumn id="1" name="filterValue" dataDxfId="9"/>
    <tableColumn id="2" name="-4" dataDxfId="8">
      <calculatedColumnFormula>EXP(-(B$1*B$1*$A2*$A2)/(2*blurKernelSigma*blurKernelSigma))</calculatedColumnFormula>
    </tableColumn>
    <tableColumn id="3" name="-3" dataDxfId="7">
      <calculatedColumnFormula>EXP(-(C$1*C$1*$A2*$A2)/(2*blurKernelSigma*blurKernelSigma))</calculatedColumnFormula>
    </tableColumn>
    <tableColumn id="4" name="-2" dataDxfId="6">
      <calculatedColumnFormula>EXP(-(D$1*D$1*$A2*$A2)/(2*blurKernelSigma*blurKernelSigma))</calculatedColumnFormula>
    </tableColumn>
    <tableColumn id="5" name="-1" dataDxfId="5">
      <calculatedColumnFormula>EXP(-(E$1*E$1*$A2*$A2)/(2*blurKernelSigma*blurKernelSigma))</calculatedColumnFormula>
    </tableColumn>
    <tableColumn id="6" name="0" dataDxfId="4">
      <calculatedColumnFormula>EXP(-(F$1*F$1*$A2*$A2)/(2*blurKernelSigma*blurKernelSigma))</calculatedColumnFormula>
    </tableColumn>
    <tableColumn id="7" name="1" dataDxfId="3">
      <calculatedColumnFormula>EXP(-(G$1*G$1*$A2*$A2)/(2*blurKernelSigma*blurKernelSigma))</calculatedColumnFormula>
    </tableColumn>
    <tableColumn id="8" name="2" dataDxfId="2">
      <calculatedColumnFormula>EXP(-(H$1*H$1*$A2*$A2)/(2*blurKernelSigma*blurKernelSigma))</calculatedColumnFormula>
    </tableColumn>
    <tableColumn id="9" name="3" dataDxfId="1">
      <calculatedColumnFormula>EXP(-(I$1*I$1*$A2*$A2)/(2*blurKernelSigma*blurKernelSigma))</calculatedColumnFormula>
    </tableColumn>
    <tableColumn id="10" name="4" dataDxfId="0">
      <calculatedColumnFormula>EXP(-(J$1*J$1*$A2*$A2)/(2*blurKernelSigma*blurKernelSigma))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3:J22" totalsRowShown="0" headerRowDxfId="21" dataDxfId="20">
  <tableColumns count="10">
    <tableColumn id="1" name="*h_filter" dataDxfId="19"/>
    <tableColumn id="2" name="-4" dataDxfId="18">
      <calculatedColumnFormula>B2*normalizationFactor</calculatedColumnFormula>
    </tableColumn>
    <tableColumn id="3" name="-3" dataDxfId="17">
      <calculatedColumnFormula>C2*normalizationFactor</calculatedColumnFormula>
    </tableColumn>
    <tableColumn id="4" name="-2" dataDxfId="16">
      <calculatedColumnFormula>D2*normalizationFactor</calculatedColumnFormula>
    </tableColumn>
    <tableColumn id="5" name="-1" dataDxfId="15">
      <calculatedColumnFormula>E2*normalizationFactor</calculatedColumnFormula>
    </tableColumn>
    <tableColumn id="6" name="0" dataDxfId="14">
      <calculatedColumnFormula>F2*normalizationFactor</calculatedColumnFormula>
    </tableColumn>
    <tableColumn id="7" name="1" dataDxfId="13">
      <calculatedColumnFormula>G2*normalizationFactor</calculatedColumnFormula>
    </tableColumn>
    <tableColumn id="8" name="2" dataDxfId="12">
      <calculatedColumnFormula>H2*normalizationFactor</calculatedColumnFormula>
    </tableColumn>
    <tableColumn id="9" name="3" dataDxfId="11">
      <calculatedColumnFormula>I2*normalizationFactor</calculatedColumnFormula>
    </tableColumn>
    <tableColumn id="10" name="4" dataDxfId="10">
      <calculatedColumnFormula>J2*normalizationFactor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2"/>
  <sheetViews>
    <sheetView tabSelected="1" workbookViewId="0">
      <selection activeCell="C8" sqref="C8"/>
    </sheetView>
  </sheetViews>
  <sheetFormatPr defaultRowHeight="13.2" x14ac:dyDescent="0.25"/>
  <cols>
    <col min="1" max="1" width="10" style="1" customWidth="1"/>
    <col min="2" max="10" width="7.77734375" style="1" customWidth="1"/>
    <col min="11" max="11" width="1.77734375" customWidth="1"/>
  </cols>
  <sheetData>
    <row r="1" spans="1:12" x14ac:dyDescent="0.25">
      <c r="A1" s="1" t="s">
        <v>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L1" s="2">
        <v>2</v>
      </c>
    </row>
    <row r="2" spans="1:12" x14ac:dyDescent="0.25">
      <c r="A2" s="1">
        <v>-4</v>
      </c>
      <c r="B2" s="3">
        <f>EXP(-(B$1*B$1*$A2*$A2)/(2*blurKernelSigma*blurKernelSigma))</f>
        <v>1.2664165549094176E-14</v>
      </c>
      <c r="C2" s="3">
        <f>EXP(-(C$1*C$1*$A2*$A2)/(2*blurKernelSigma*blurKernelSigma))</f>
        <v>1.5229979744712629E-8</v>
      </c>
      <c r="D2" s="3">
        <f>EXP(-(D$1*D$1*$A2*$A2)/(2*blurKernelSigma*blurKernelSigma))</f>
        <v>3.3546262790251185E-4</v>
      </c>
      <c r="E2" s="3">
        <f>EXP(-(E$1*E$1*$A2*$A2)/(2*blurKernelSigma*blurKernelSigma))</f>
        <v>0.1353352832366127</v>
      </c>
      <c r="F2" s="3">
        <f>EXP(-(F$1*F$1*$A2*$A2)/(2*blurKernelSigma*blurKernelSigma))</f>
        <v>1</v>
      </c>
      <c r="G2" s="3">
        <f>EXP(-(G$1*G$1*$A2*$A2)/(2*blurKernelSigma*blurKernelSigma))</f>
        <v>0.1353352832366127</v>
      </c>
      <c r="H2" s="3">
        <f>EXP(-(H$1*H$1*$A2*$A2)/(2*blurKernelSigma*blurKernelSigma))</f>
        <v>3.3546262790251185E-4</v>
      </c>
      <c r="I2" s="3">
        <f>EXP(-(I$1*I$1*$A2*$A2)/(2*blurKernelSigma*blurKernelSigma))</f>
        <v>1.5229979744712629E-8</v>
      </c>
      <c r="J2" s="3">
        <f>EXP(-(J$1*J$1*$A2*$A2)/(2*blurKernelSigma*blurKernelSigma))</f>
        <v>1.2664165549094176E-14</v>
      </c>
    </row>
    <row r="3" spans="1:12" x14ac:dyDescent="0.25">
      <c r="A3" s="1">
        <v>-3</v>
      </c>
      <c r="B3" s="3">
        <f>EXP(-(B$1*B$1*$A3*$A3)/(2*blurKernelSigma*blurKernelSigma))</f>
        <v>1.5229979744712629E-8</v>
      </c>
      <c r="C3" s="3">
        <f>EXP(-(C$1*C$1*$A3*$A3)/(2*blurKernelSigma*blurKernelSigma))</f>
        <v>4.0065297392951069E-5</v>
      </c>
      <c r="D3" s="3">
        <f>EXP(-(D$1*D$1*$A3*$A3)/(2*blurKernelSigma*blurKernelSigma))</f>
        <v>1.1108996538242306E-2</v>
      </c>
      <c r="E3" s="3">
        <f>EXP(-(E$1*E$1*$A3*$A3)/(2*blurKernelSigma*blurKernelSigma))</f>
        <v>0.32465246735834974</v>
      </c>
      <c r="F3" s="3">
        <f>EXP(-(F$1*F$1*$A3*$A3)/(2*blurKernelSigma*blurKernelSigma))</f>
        <v>1</v>
      </c>
      <c r="G3" s="3">
        <f>EXP(-(G$1*G$1*$A3*$A3)/(2*blurKernelSigma*blurKernelSigma))</f>
        <v>0.32465246735834974</v>
      </c>
      <c r="H3" s="3">
        <f>EXP(-(H$1*H$1*$A3*$A3)/(2*blurKernelSigma*blurKernelSigma))</f>
        <v>1.1108996538242306E-2</v>
      </c>
      <c r="I3" s="3">
        <f>EXP(-(I$1*I$1*$A3*$A3)/(2*blurKernelSigma*blurKernelSigma))</f>
        <v>4.0065297392951069E-5</v>
      </c>
      <c r="J3" s="3">
        <f>EXP(-(J$1*J$1*$A3*$A3)/(2*blurKernelSigma*blurKernelSigma))</f>
        <v>1.5229979744712629E-8</v>
      </c>
    </row>
    <row r="4" spans="1:12" x14ac:dyDescent="0.25">
      <c r="A4" s="1">
        <v>-2</v>
      </c>
      <c r="B4" s="3">
        <f>EXP(-(B$1*B$1*$A4*$A4)/(2*blurKernelSigma*blurKernelSigma))</f>
        <v>3.3546262790251185E-4</v>
      </c>
      <c r="C4" s="3">
        <f>EXP(-(C$1*C$1*$A4*$A4)/(2*blurKernelSigma*blurKernelSigma))</f>
        <v>1.1108996538242306E-2</v>
      </c>
      <c r="D4" s="3">
        <f>EXP(-(D$1*D$1*$A4*$A4)/(2*blurKernelSigma*blurKernelSigma))</f>
        <v>0.1353352832366127</v>
      </c>
      <c r="E4" s="3">
        <f>EXP(-(E$1*E$1*$A4*$A4)/(2*blurKernelSigma*blurKernelSigma))</f>
        <v>0.60653065971263342</v>
      </c>
      <c r="F4" s="3">
        <f>EXP(-(F$1*F$1*$A4*$A4)/(2*blurKernelSigma*blurKernelSigma))</f>
        <v>1</v>
      </c>
      <c r="G4" s="3">
        <f>EXP(-(G$1*G$1*$A4*$A4)/(2*blurKernelSigma*blurKernelSigma))</f>
        <v>0.60653065971263342</v>
      </c>
      <c r="H4" s="3">
        <f>EXP(-(H$1*H$1*$A4*$A4)/(2*blurKernelSigma*blurKernelSigma))</f>
        <v>0.1353352832366127</v>
      </c>
      <c r="I4" s="3">
        <f>EXP(-(I$1*I$1*$A4*$A4)/(2*blurKernelSigma*blurKernelSigma))</f>
        <v>1.1108996538242306E-2</v>
      </c>
      <c r="J4" s="3">
        <f>EXP(-(J$1*J$1*$A4*$A4)/(2*blurKernelSigma*blurKernelSigma))</f>
        <v>3.3546262790251185E-4</v>
      </c>
    </row>
    <row r="5" spans="1:12" x14ac:dyDescent="0.25">
      <c r="A5" s="1">
        <v>-1</v>
      </c>
      <c r="B5" s="3">
        <f>EXP(-(B$1*B$1*$A5*$A5)/(2*blurKernelSigma*blurKernelSigma))</f>
        <v>0.1353352832366127</v>
      </c>
      <c r="C5" s="3">
        <f>EXP(-(C$1*C$1*$A5*$A5)/(2*blurKernelSigma*blurKernelSigma))</f>
        <v>0.32465246735834974</v>
      </c>
      <c r="D5" s="3">
        <f>EXP(-(D$1*D$1*$A5*$A5)/(2*blurKernelSigma*blurKernelSigma))</f>
        <v>0.60653065971263342</v>
      </c>
      <c r="E5" s="3">
        <f>EXP(-(E$1*E$1*$A5*$A5)/(2*blurKernelSigma*blurKernelSigma))</f>
        <v>0.88249690258459546</v>
      </c>
      <c r="F5" s="3">
        <f>EXP(-(F$1*F$1*$A5*$A5)/(2*blurKernelSigma*blurKernelSigma))</f>
        <v>1</v>
      </c>
      <c r="G5" s="3">
        <f>EXP(-(G$1*G$1*$A5*$A5)/(2*blurKernelSigma*blurKernelSigma))</f>
        <v>0.88249690258459546</v>
      </c>
      <c r="H5" s="3">
        <f>EXP(-(H$1*H$1*$A5*$A5)/(2*blurKernelSigma*blurKernelSigma))</f>
        <v>0.60653065971263342</v>
      </c>
      <c r="I5" s="3">
        <f>EXP(-(I$1*I$1*$A5*$A5)/(2*blurKernelSigma*blurKernelSigma))</f>
        <v>0.32465246735834974</v>
      </c>
      <c r="J5" s="3">
        <f>EXP(-(J$1*J$1*$A5*$A5)/(2*blurKernelSigma*blurKernelSigma))</f>
        <v>0.1353352832366127</v>
      </c>
    </row>
    <row r="6" spans="1:12" x14ac:dyDescent="0.25">
      <c r="A6" s="1">
        <v>0</v>
      </c>
      <c r="B6" s="3">
        <f>EXP(-(B$1*B$1*$A6*$A6)/(2*blurKernelSigma*blurKernelSigma))</f>
        <v>1</v>
      </c>
      <c r="C6" s="3">
        <f>EXP(-(C$1*C$1*$A6*$A6)/(2*blurKernelSigma*blurKernelSigma))</f>
        <v>1</v>
      </c>
      <c r="D6" s="3">
        <f>EXP(-(D$1*D$1*$A6*$A6)/(2*blurKernelSigma*blurKernelSigma))</f>
        <v>1</v>
      </c>
      <c r="E6" s="3">
        <f>EXP(-(E$1*E$1*$A6*$A6)/(2*blurKernelSigma*blurKernelSigma))</f>
        <v>1</v>
      </c>
      <c r="F6" s="3">
        <f>EXP(-(F$1*F$1*$A6*$A6)/(2*blurKernelSigma*blurKernelSigma))</f>
        <v>1</v>
      </c>
      <c r="G6" s="3">
        <f>EXP(-(G$1*G$1*$A6*$A6)/(2*blurKernelSigma*blurKernelSigma))</f>
        <v>1</v>
      </c>
      <c r="H6" s="3">
        <f>EXP(-(H$1*H$1*$A6*$A6)/(2*blurKernelSigma*blurKernelSigma))</f>
        <v>1</v>
      </c>
      <c r="I6" s="3">
        <f>EXP(-(I$1*I$1*$A6*$A6)/(2*blurKernelSigma*blurKernelSigma))</f>
        <v>1</v>
      </c>
      <c r="J6" s="3">
        <f>EXP(-(J$1*J$1*$A6*$A6)/(2*blurKernelSigma*blurKernelSigma))</f>
        <v>1</v>
      </c>
    </row>
    <row r="7" spans="1:12" x14ac:dyDescent="0.25">
      <c r="A7" s="1">
        <v>1</v>
      </c>
      <c r="B7" s="3">
        <f>EXP(-(B$1*B$1*$A7*$A7)/(2*blurKernelSigma*blurKernelSigma))</f>
        <v>0.1353352832366127</v>
      </c>
      <c r="C7" s="3">
        <f>EXP(-(C$1*C$1*$A7*$A7)/(2*blurKernelSigma*blurKernelSigma))</f>
        <v>0.32465246735834974</v>
      </c>
      <c r="D7" s="3">
        <f>EXP(-(D$1*D$1*$A7*$A7)/(2*blurKernelSigma*blurKernelSigma))</f>
        <v>0.60653065971263342</v>
      </c>
      <c r="E7" s="3">
        <f>EXP(-(E$1*E$1*$A7*$A7)/(2*blurKernelSigma*blurKernelSigma))</f>
        <v>0.88249690258459546</v>
      </c>
      <c r="F7" s="3">
        <f>EXP(-(F$1*F$1*$A7*$A7)/(2*blurKernelSigma*blurKernelSigma))</f>
        <v>1</v>
      </c>
      <c r="G7" s="3">
        <f>EXP(-(G$1*G$1*$A7*$A7)/(2*blurKernelSigma*blurKernelSigma))</f>
        <v>0.88249690258459546</v>
      </c>
      <c r="H7" s="3">
        <f>EXP(-(H$1*H$1*$A7*$A7)/(2*blurKernelSigma*blurKernelSigma))</f>
        <v>0.60653065971263342</v>
      </c>
      <c r="I7" s="3">
        <f>EXP(-(I$1*I$1*$A7*$A7)/(2*blurKernelSigma*blurKernelSigma))</f>
        <v>0.32465246735834974</v>
      </c>
      <c r="J7" s="3">
        <f>EXP(-(J$1*J$1*$A7*$A7)/(2*blurKernelSigma*blurKernelSigma))</f>
        <v>0.1353352832366127</v>
      </c>
    </row>
    <row r="8" spans="1:12" x14ac:dyDescent="0.25">
      <c r="A8" s="1">
        <v>2</v>
      </c>
      <c r="B8" s="3">
        <f>EXP(-(B$1*B$1*$A8*$A8)/(2*blurKernelSigma*blurKernelSigma))</f>
        <v>3.3546262790251185E-4</v>
      </c>
      <c r="C8" s="3">
        <f>EXP(-(C$1*C$1*$A8*$A8)/(2*blurKernelSigma*blurKernelSigma))</f>
        <v>1.1108996538242306E-2</v>
      </c>
      <c r="D8" s="3">
        <f>EXP(-(D$1*D$1*$A8*$A8)/(2*blurKernelSigma*blurKernelSigma))</f>
        <v>0.1353352832366127</v>
      </c>
      <c r="E8" s="3">
        <f>EXP(-(E$1*E$1*$A8*$A8)/(2*blurKernelSigma*blurKernelSigma))</f>
        <v>0.60653065971263342</v>
      </c>
      <c r="F8" s="3">
        <f>EXP(-(F$1*F$1*$A8*$A8)/(2*blurKernelSigma*blurKernelSigma))</f>
        <v>1</v>
      </c>
      <c r="G8" s="3">
        <f>EXP(-(G$1*G$1*$A8*$A8)/(2*blurKernelSigma*blurKernelSigma))</f>
        <v>0.60653065971263342</v>
      </c>
      <c r="H8" s="3">
        <f>EXP(-(H$1*H$1*$A8*$A8)/(2*blurKernelSigma*blurKernelSigma))</f>
        <v>0.1353352832366127</v>
      </c>
      <c r="I8" s="3">
        <f>EXP(-(I$1*I$1*$A8*$A8)/(2*blurKernelSigma*blurKernelSigma))</f>
        <v>1.1108996538242306E-2</v>
      </c>
      <c r="J8" s="3">
        <f>EXP(-(J$1*J$1*$A8*$A8)/(2*blurKernelSigma*blurKernelSigma))</f>
        <v>3.3546262790251185E-4</v>
      </c>
    </row>
    <row r="9" spans="1:12" x14ac:dyDescent="0.25">
      <c r="A9" s="1">
        <v>3</v>
      </c>
      <c r="B9" s="3">
        <f>EXP(-(B$1*B$1*$A9*$A9)/(2*blurKernelSigma*blurKernelSigma))</f>
        <v>1.5229979744712629E-8</v>
      </c>
      <c r="C9" s="3">
        <f>EXP(-(C$1*C$1*$A9*$A9)/(2*blurKernelSigma*blurKernelSigma))</f>
        <v>4.0065297392951069E-5</v>
      </c>
      <c r="D9" s="3">
        <f>EXP(-(D$1*D$1*$A9*$A9)/(2*blurKernelSigma*blurKernelSigma))</f>
        <v>1.1108996538242306E-2</v>
      </c>
      <c r="E9" s="3">
        <f>EXP(-(E$1*E$1*$A9*$A9)/(2*blurKernelSigma*blurKernelSigma))</f>
        <v>0.32465246735834974</v>
      </c>
      <c r="F9" s="3">
        <f>EXP(-(F$1*F$1*$A9*$A9)/(2*blurKernelSigma*blurKernelSigma))</f>
        <v>1</v>
      </c>
      <c r="G9" s="3">
        <f>EXP(-(G$1*G$1*$A9*$A9)/(2*blurKernelSigma*blurKernelSigma))</f>
        <v>0.32465246735834974</v>
      </c>
      <c r="H9" s="3">
        <f>EXP(-(H$1*H$1*$A9*$A9)/(2*blurKernelSigma*blurKernelSigma))</f>
        <v>1.1108996538242306E-2</v>
      </c>
      <c r="I9" s="3">
        <f>EXP(-(I$1*I$1*$A9*$A9)/(2*blurKernelSigma*blurKernelSigma))</f>
        <v>4.0065297392951069E-5</v>
      </c>
      <c r="J9" s="3">
        <f>EXP(-(J$1*J$1*$A9*$A9)/(2*blurKernelSigma*blurKernelSigma))</f>
        <v>1.5229979744712629E-8</v>
      </c>
      <c r="L9" s="4">
        <f>SUM(Table1[[-4]:[4]])</f>
        <v>29.695192082104221</v>
      </c>
    </row>
    <row r="10" spans="1:12" x14ac:dyDescent="0.25">
      <c r="A10" s="1">
        <v>4</v>
      </c>
      <c r="B10" s="3">
        <f>EXP(-(B$1*B$1*$A10*$A10)/(2*blurKernelSigma*blurKernelSigma))</f>
        <v>1.2664165549094176E-14</v>
      </c>
      <c r="C10" s="3">
        <f>EXP(-(C$1*C$1*$A10*$A10)/(2*blurKernelSigma*blurKernelSigma))</f>
        <v>1.5229979744712629E-8</v>
      </c>
      <c r="D10" s="3">
        <f>EXP(-(D$1*D$1*$A10*$A10)/(2*blurKernelSigma*blurKernelSigma))</f>
        <v>3.3546262790251185E-4</v>
      </c>
      <c r="E10" s="3">
        <f>EXP(-(E$1*E$1*$A10*$A10)/(2*blurKernelSigma*blurKernelSigma))</f>
        <v>0.1353352832366127</v>
      </c>
      <c r="F10" s="3">
        <f>EXP(-(F$1*F$1*$A10*$A10)/(2*blurKernelSigma*blurKernelSigma))</f>
        <v>1</v>
      </c>
      <c r="G10" s="3">
        <f>EXP(-(G$1*G$1*$A10*$A10)/(2*blurKernelSigma*blurKernelSigma))</f>
        <v>0.1353352832366127</v>
      </c>
      <c r="H10" s="3">
        <f>EXP(-(H$1*H$1*$A10*$A10)/(2*blurKernelSigma*blurKernelSigma))</f>
        <v>3.3546262790251185E-4</v>
      </c>
      <c r="I10" s="3">
        <f>EXP(-(I$1*I$1*$A10*$A10)/(2*blurKernelSigma*blurKernelSigma))</f>
        <v>1.5229979744712629E-8</v>
      </c>
      <c r="J10" s="3">
        <f>EXP(-(J$1*J$1*$A10*$A10)/(2*blurKernelSigma*blurKernelSigma))</f>
        <v>1.2664165549094176E-14</v>
      </c>
      <c r="L10" s="4">
        <f>1/filterSum</f>
        <v>3.3675485150427738E-2</v>
      </c>
    </row>
    <row r="13" spans="1:12" x14ac:dyDescent="0.25">
      <c r="A13" s="1" t="s">
        <v>10</v>
      </c>
      <c r="B13" s="1" t="s">
        <v>0</v>
      </c>
      <c r="C13" s="1" t="s">
        <v>1</v>
      </c>
      <c r="D13" s="1" t="s">
        <v>2</v>
      </c>
      <c r="E13" s="1" t="s">
        <v>3</v>
      </c>
      <c r="F13" s="1" t="s">
        <v>4</v>
      </c>
      <c r="G13" s="1" t="s">
        <v>5</v>
      </c>
      <c r="H13" s="1" t="s">
        <v>6</v>
      </c>
      <c r="I13" s="1" t="s">
        <v>7</v>
      </c>
      <c r="J13" s="1" t="s">
        <v>8</v>
      </c>
    </row>
    <row r="14" spans="1:12" x14ac:dyDescent="0.25">
      <c r="A14" s="1">
        <v>-4</v>
      </c>
      <c r="B14" s="3">
        <f>B2*normalizationFactor</f>
        <v>4.2647191889107945E-16</v>
      </c>
      <c r="C14" s="3">
        <f>C2*normalizationFactor</f>
        <v>5.1287695673438534E-10</v>
      </c>
      <c r="D14" s="3">
        <f>D2*normalizationFactor</f>
        <v>1.1296866744454503E-5</v>
      </c>
      <c r="E14" s="3">
        <f>E2*normalizationFactor</f>
        <v>4.5574813209634827E-3</v>
      </c>
      <c r="F14" s="3">
        <f>F2*normalizationFactor</f>
        <v>3.3675485150427738E-2</v>
      </c>
      <c r="G14" s="3">
        <f>G2*normalizationFactor</f>
        <v>4.5574813209634827E-3</v>
      </c>
      <c r="H14" s="3">
        <f>H2*normalizationFactor</f>
        <v>1.1296866744454503E-5</v>
      </c>
      <c r="I14" s="3">
        <f>I2*normalizationFactor</f>
        <v>5.1287695673438534E-10</v>
      </c>
      <c r="J14" s="3">
        <f>J2*normalizationFactor</f>
        <v>4.2647191889107945E-16</v>
      </c>
    </row>
    <row r="15" spans="1:12" x14ac:dyDescent="0.25">
      <c r="A15" s="1">
        <v>-3</v>
      </c>
      <c r="B15" s="3">
        <f>B3*normalizationFactor</f>
        <v>5.1287695673438534E-10</v>
      </c>
      <c r="C15" s="3">
        <f>C3*normalizationFactor</f>
        <v>1.3492183274037948E-6</v>
      </c>
      <c r="D15" s="3">
        <f>D3*normalizationFactor</f>
        <v>3.7410084795973193E-4</v>
      </c>
      <c r="E15" s="3">
        <f>E3*normalizationFactor</f>
        <v>1.0932829343575833E-2</v>
      </c>
      <c r="F15" s="3">
        <f>F3*normalizationFactor</f>
        <v>3.3675485150427738E-2</v>
      </c>
      <c r="G15" s="3">
        <f>G3*normalizationFactor</f>
        <v>1.0932829343575833E-2</v>
      </c>
      <c r="H15" s="3">
        <f>H3*normalizationFactor</f>
        <v>3.7410084795973193E-4</v>
      </c>
      <c r="I15" s="3">
        <f>I3*normalizationFactor</f>
        <v>1.3492183274037948E-6</v>
      </c>
      <c r="J15" s="3">
        <f>J3*normalizationFactor</f>
        <v>5.1287695673438534E-10</v>
      </c>
    </row>
    <row r="16" spans="1:12" x14ac:dyDescent="0.25">
      <c r="A16" s="1">
        <v>-2</v>
      </c>
      <c r="B16" s="3">
        <f>B4*normalizationFactor</f>
        <v>1.1296866744454503E-5</v>
      </c>
      <c r="C16" s="3">
        <f>C4*normalizationFactor</f>
        <v>3.7410084795973193E-4</v>
      </c>
      <c r="D16" s="3">
        <f>D4*normalizationFactor</f>
        <v>4.5574813209634827E-3</v>
      </c>
      <c r="E16" s="3">
        <f>E4*normalizationFactor</f>
        <v>2.0425214224431925E-2</v>
      </c>
      <c r="F16" s="3">
        <f>F4*normalizationFactor</f>
        <v>3.3675485150427738E-2</v>
      </c>
      <c r="G16" s="3">
        <f>G4*normalizationFactor</f>
        <v>2.0425214224431925E-2</v>
      </c>
      <c r="H16" s="3">
        <f>H4*normalizationFactor</f>
        <v>4.5574813209634827E-3</v>
      </c>
      <c r="I16" s="3">
        <f>I4*normalizationFactor</f>
        <v>3.7410084795973193E-4</v>
      </c>
      <c r="J16" s="3">
        <f>J4*normalizationFactor</f>
        <v>1.1296866744454503E-5</v>
      </c>
    </row>
    <row r="17" spans="1:10" x14ac:dyDescent="0.25">
      <c r="A17" s="1">
        <v>-1</v>
      </c>
      <c r="B17" s="3">
        <f>B5*normalizationFactor</f>
        <v>4.5574813209634827E-3</v>
      </c>
      <c r="C17" s="3">
        <f>C5*normalizationFactor</f>
        <v>1.0932829343575833E-2</v>
      </c>
      <c r="D17" s="3">
        <f>D5*normalizationFactor</f>
        <v>2.0425214224431925E-2</v>
      </c>
      <c r="E17" s="3">
        <f>E5*normalizationFactor</f>
        <v>2.9718511338286017E-2</v>
      </c>
      <c r="F17" s="3">
        <f>F5*normalizationFactor</f>
        <v>3.3675485150427738E-2</v>
      </c>
      <c r="G17" s="3">
        <f>G5*normalizationFactor</f>
        <v>2.9718511338286017E-2</v>
      </c>
      <c r="H17" s="3">
        <f>H5*normalizationFactor</f>
        <v>2.0425214224431925E-2</v>
      </c>
      <c r="I17" s="3">
        <f>I5*normalizationFactor</f>
        <v>1.0932829343575833E-2</v>
      </c>
      <c r="J17" s="3">
        <f>J5*normalizationFactor</f>
        <v>4.5574813209634827E-3</v>
      </c>
    </row>
    <row r="18" spans="1:10" x14ac:dyDescent="0.25">
      <c r="A18" s="1">
        <v>0</v>
      </c>
      <c r="B18" s="3">
        <f>B6*normalizationFactor</f>
        <v>3.3675485150427738E-2</v>
      </c>
      <c r="C18" s="3">
        <f>C6*normalizationFactor</f>
        <v>3.3675485150427738E-2</v>
      </c>
      <c r="D18" s="3">
        <f>D6*normalizationFactor</f>
        <v>3.3675485150427738E-2</v>
      </c>
      <c r="E18" s="3">
        <f>E6*normalizationFactor</f>
        <v>3.3675485150427738E-2</v>
      </c>
      <c r="F18" s="3">
        <f>F6*normalizationFactor</f>
        <v>3.3675485150427738E-2</v>
      </c>
      <c r="G18" s="3">
        <f>G6*normalizationFactor</f>
        <v>3.3675485150427738E-2</v>
      </c>
      <c r="H18" s="3">
        <f>H6*normalizationFactor</f>
        <v>3.3675485150427738E-2</v>
      </c>
      <c r="I18" s="3">
        <f>I6*normalizationFactor</f>
        <v>3.3675485150427738E-2</v>
      </c>
      <c r="J18" s="3">
        <f>J6*normalizationFactor</f>
        <v>3.3675485150427738E-2</v>
      </c>
    </row>
    <row r="19" spans="1:10" x14ac:dyDescent="0.25">
      <c r="A19" s="1">
        <v>1</v>
      </c>
      <c r="B19" s="3">
        <f>B7*normalizationFactor</f>
        <v>4.5574813209634827E-3</v>
      </c>
      <c r="C19" s="3">
        <f>C7*normalizationFactor</f>
        <v>1.0932829343575833E-2</v>
      </c>
      <c r="D19" s="3">
        <f>D7*normalizationFactor</f>
        <v>2.0425214224431925E-2</v>
      </c>
      <c r="E19" s="3">
        <f>E7*normalizationFactor</f>
        <v>2.9718511338286017E-2</v>
      </c>
      <c r="F19" s="3">
        <f>F7*normalizationFactor</f>
        <v>3.3675485150427738E-2</v>
      </c>
      <c r="G19" s="3">
        <f>G7*normalizationFactor</f>
        <v>2.9718511338286017E-2</v>
      </c>
      <c r="H19" s="3">
        <f>H7*normalizationFactor</f>
        <v>2.0425214224431925E-2</v>
      </c>
      <c r="I19" s="3">
        <f>I7*normalizationFactor</f>
        <v>1.0932829343575833E-2</v>
      </c>
      <c r="J19" s="3">
        <f>J7*normalizationFactor</f>
        <v>4.5574813209634827E-3</v>
      </c>
    </row>
    <row r="20" spans="1:10" x14ac:dyDescent="0.25">
      <c r="A20" s="1">
        <v>2</v>
      </c>
      <c r="B20" s="3">
        <f>B8*normalizationFactor</f>
        <v>1.1296866744454503E-5</v>
      </c>
      <c r="C20" s="3">
        <f>C8*normalizationFactor</f>
        <v>3.7410084795973193E-4</v>
      </c>
      <c r="D20" s="3">
        <f>D8*normalizationFactor</f>
        <v>4.5574813209634827E-3</v>
      </c>
      <c r="E20" s="3">
        <f>E8*normalizationFactor</f>
        <v>2.0425214224431925E-2</v>
      </c>
      <c r="F20" s="3">
        <f>F8*normalizationFactor</f>
        <v>3.3675485150427738E-2</v>
      </c>
      <c r="G20" s="3">
        <f>G8*normalizationFactor</f>
        <v>2.0425214224431925E-2</v>
      </c>
      <c r="H20" s="3">
        <f>H8*normalizationFactor</f>
        <v>4.5574813209634827E-3</v>
      </c>
      <c r="I20" s="3">
        <f>I8*normalizationFactor</f>
        <v>3.7410084795973193E-4</v>
      </c>
      <c r="J20" s="3">
        <f>J8*normalizationFactor</f>
        <v>1.1296866744454503E-5</v>
      </c>
    </row>
    <row r="21" spans="1:10" x14ac:dyDescent="0.25">
      <c r="A21" s="1">
        <v>3</v>
      </c>
      <c r="B21" s="3">
        <f>B9*normalizationFactor</f>
        <v>5.1287695673438534E-10</v>
      </c>
      <c r="C21" s="3">
        <f>C9*normalizationFactor</f>
        <v>1.3492183274037948E-6</v>
      </c>
      <c r="D21" s="3">
        <f>D9*normalizationFactor</f>
        <v>3.7410084795973193E-4</v>
      </c>
      <c r="E21" s="3">
        <f>E9*normalizationFactor</f>
        <v>1.0932829343575833E-2</v>
      </c>
      <c r="F21" s="3">
        <f>F9*normalizationFactor</f>
        <v>3.3675485150427738E-2</v>
      </c>
      <c r="G21" s="3">
        <f>G9*normalizationFactor</f>
        <v>1.0932829343575833E-2</v>
      </c>
      <c r="H21" s="3">
        <f>H9*normalizationFactor</f>
        <v>3.7410084795973193E-4</v>
      </c>
      <c r="I21" s="3">
        <f>I9*normalizationFactor</f>
        <v>1.3492183274037948E-6</v>
      </c>
      <c r="J21" s="3">
        <f>J9*normalizationFactor</f>
        <v>5.1287695673438534E-10</v>
      </c>
    </row>
    <row r="22" spans="1:10" x14ac:dyDescent="0.25">
      <c r="A22" s="1">
        <v>4</v>
      </c>
      <c r="B22" s="3">
        <f>B10*normalizationFactor</f>
        <v>4.2647191889107945E-16</v>
      </c>
      <c r="C22" s="3">
        <f>C10*normalizationFactor</f>
        <v>5.1287695673438534E-10</v>
      </c>
      <c r="D22" s="3">
        <f>D10*normalizationFactor</f>
        <v>1.1296866744454503E-5</v>
      </c>
      <c r="E22" s="3">
        <f>E10*normalizationFactor</f>
        <v>4.5574813209634827E-3</v>
      </c>
      <c r="F22" s="3">
        <f>F10*normalizationFactor</f>
        <v>3.3675485150427738E-2</v>
      </c>
      <c r="G22" s="3">
        <f>G10*normalizationFactor</f>
        <v>4.5574813209634827E-3</v>
      </c>
      <c r="H22" s="3">
        <f>H10*normalizationFactor</f>
        <v>1.1296866744454503E-5</v>
      </c>
      <c r="I22" s="3">
        <f>I10*normalizationFactor</f>
        <v>5.1287695673438534E-10</v>
      </c>
      <c r="J22" s="3">
        <f>J10*normalizationFactor</f>
        <v>4.2647191889107945E-16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blurKernelSigma</vt:lpstr>
      <vt:lpstr>filterSum</vt:lpstr>
      <vt:lpstr>normalizationFactor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Fan</dc:creator>
  <cp:lastModifiedBy>Joe Fan</cp:lastModifiedBy>
  <dcterms:created xsi:type="dcterms:W3CDTF">2014-05-29T03:31:13Z</dcterms:created>
  <dcterms:modified xsi:type="dcterms:W3CDTF">2014-05-29T03:43:13Z</dcterms:modified>
</cp:coreProperties>
</file>